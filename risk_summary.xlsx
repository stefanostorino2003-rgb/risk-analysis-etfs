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cer\Desktop\Python Stefano Storino\"/>
    </mc:Choice>
  </mc:AlternateContent>
  <xr:revisionPtr revIDLastSave="0" documentId="13_ncr:1_{2E297E5A-9931-4DB1-980A-086B74CE74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" l="1"/>
  <c r="X5" i="1"/>
  <c r="X6" i="1"/>
  <c r="X7" i="1"/>
  <c r="X8" i="1"/>
  <c r="X9" i="1"/>
  <c r="X10" i="1"/>
  <c r="X11" i="1"/>
  <c r="X12" i="1"/>
  <c r="X3" i="1"/>
  <c r="W4" i="1"/>
  <c r="W5" i="1"/>
  <c r="W6" i="1"/>
  <c r="W7" i="1"/>
  <c r="W8" i="1"/>
  <c r="W9" i="1"/>
  <c r="W10" i="1"/>
  <c r="W11" i="1"/>
  <c r="W12" i="1"/>
  <c r="W3" i="1"/>
  <c r="V4" i="1"/>
  <c r="V5" i="1"/>
  <c r="V6" i="1"/>
  <c r="V7" i="1"/>
  <c r="V8" i="1"/>
  <c r="V9" i="1"/>
  <c r="V10" i="1"/>
  <c r="V11" i="1"/>
  <c r="V12" i="1"/>
  <c r="V3" i="1"/>
  <c r="U4" i="1"/>
  <c r="U5" i="1"/>
  <c r="U6" i="1"/>
  <c r="U7" i="1"/>
  <c r="U8" i="1"/>
  <c r="U9" i="1"/>
  <c r="U10" i="1"/>
  <c r="U11" i="1"/>
  <c r="U12" i="1"/>
  <c r="U3" i="1"/>
  <c r="T4" i="1"/>
  <c r="T5" i="1"/>
  <c r="T6" i="1"/>
  <c r="T7" i="1"/>
  <c r="T8" i="1"/>
  <c r="T9" i="1"/>
  <c r="T10" i="1"/>
  <c r="T11" i="1"/>
  <c r="T12" i="1"/>
  <c r="T3" i="1"/>
  <c r="S4" i="1"/>
  <c r="S5" i="1"/>
  <c r="S6" i="1"/>
  <c r="S7" i="1"/>
  <c r="S8" i="1"/>
  <c r="S9" i="1"/>
  <c r="S10" i="1"/>
  <c r="S11" i="1"/>
  <c r="S12" i="1"/>
  <c r="S3" i="1"/>
  <c r="I4" i="1"/>
  <c r="I5" i="1"/>
  <c r="I6" i="1"/>
  <c r="I7" i="1"/>
  <c r="I8" i="1"/>
  <c r="I9" i="1"/>
  <c r="I10" i="1"/>
  <c r="I11" i="1"/>
  <c r="I12" i="1"/>
  <c r="I3" i="1"/>
  <c r="R4" i="1"/>
  <c r="R5" i="1"/>
  <c r="R6" i="1"/>
  <c r="R7" i="1"/>
  <c r="R8" i="1"/>
  <c r="R9" i="1"/>
  <c r="R10" i="1"/>
  <c r="R11" i="1"/>
  <c r="R12" i="1"/>
  <c r="R3" i="1"/>
</calcChain>
</file>

<file path=xl/sharedStrings.xml><?xml version="1.0" encoding="utf-8"?>
<sst xmlns="http://schemas.openxmlformats.org/spreadsheetml/2006/main" count="32" uniqueCount="32">
  <si>
    <t>Mean</t>
  </si>
  <si>
    <t>Std Dev</t>
  </si>
  <si>
    <t>Semi Dev</t>
  </si>
  <si>
    <t>Sharpe Ratio</t>
  </si>
  <si>
    <t>Sortino Ratio</t>
  </si>
  <si>
    <t>Max Drawdown</t>
  </si>
  <si>
    <t>Drawdown Duration</t>
  </si>
  <si>
    <t>Skewness</t>
  </si>
  <si>
    <t>Kurtosis</t>
  </si>
  <si>
    <t>Excess Kurtosis</t>
  </si>
  <si>
    <t>Historic VaR (5%)</t>
  </si>
  <si>
    <t>Gaussian VaR (5%)</t>
  </si>
  <si>
    <t>Cornish-Fisher VaR (5%)</t>
  </si>
  <si>
    <t>Historic CVaR (5%)</t>
  </si>
  <si>
    <t>SPY</t>
  </si>
  <si>
    <t>QQQ</t>
  </si>
  <si>
    <t>IWM</t>
  </si>
  <si>
    <t>EFA</t>
  </si>
  <si>
    <t>EEM</t>
  </si>
  <si>
    <t>XLK</t>
  </si>
  <si>
    <t>XLF</t>
  </si>
  <si>
    <t>XLV</t>
  </si>
  <si>
    <t>TLT</t>
  </si>
  <si>
    <t>GLD</t>
  </si>
  <si>
    <t>Volatility Score</t>
  </si>
  <si>
    <t>DD score</t>
  </si>
  <si>
    <t>Positive DD</t>
  </si>
  <si>
    <t>Tail score</t>
  </si>
  <si>
    <t>Risk Score</t>
  </si>
  <si>
    <t>Efficency score</t>
  </si>
  <si>
    <t>Shape score</t>
  </si>
  <si>
    <t>Lower then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</si>
</sst>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10" fontId="0" fillId="4" borderId="0" xfId="1" applyNumberFormat="1" applyFont="1" applyFill="1" applyBorder="1"/>
    <xf numFmtId="2" fontId="0" fillId="4" borderId="0" xfId="1" applyNumberFormat="1" applyFont="1" applyFill="1" applyBorder="1"/>
    <xf numFmtId="0" fontId="0" fillId="4" borderId="0" xfId="0" applyFill="1" applyBorder="1"/>
    <xf numFmtId="2" fontId="0" fillId="4" borderId="0" xfId="0" applyNumberFormat="1" applyFill="1" applyBorder="1"/>
    <xf numFmtId="0" fontId="0" fillId="4" borderId="5" xfId="0" applyFill="1" applyBorder="1"/>
    <xf numFmtId="10" fontId="0" fillId="4" borderId="7" xfId="1" applyNumberFormat="1" applyFont="1" applyFill="1" applyBorder="1"/>
    <xf numFmtId="2" fontId="0" fillId="4" borderId="7" xfId="1" applyNumberFormat="1" applyFont="1" applyFill="1" applyBorder="1"/>
    <xf numFmtId="0" fontId="0" fillId="4" borderId="7" xfId="0" applyFill="1" applyBorder="1"/>
    <xf numFmtId="2" fontId="0" fillId="4" borderId="7" xfId="0" applyNumberFormat="1" applyFill="1" applyBorder="1"/>
    <xf numFmtId="0" fontId="0" fillId="4" borderId="8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2"/>
  <sheetViews>
    <sheetView tabSelected="1" workbookViewId="0">
      <selection activeCell="M24" sqref="M24"/>
    </sheetView>
  </sheetViews>
  <sheetFormatPr defaultRowHeight="14.4" x14ac:dyDescent="0.3"/>
  <cols>
    <col min="2" max="2" width="5.109375" bestFit="1" customWidth="1"/>
    <col min="4" max="4" width="10.5546875" customWidth="1"/>
    <col min="5" max="5" width="11.109375" customWidth="1"/>
    <col min="6" max="6" width="11.21875" customWidth="1"/>
    <col min="7" max="7" width="12" customWidth="1"/>
    <col min="8" max="9" width="14.33203125" customWidth="1"/>
    <col min="10" max="10" width="17.6640625" customWidth="1"/>
    <col min="11" max="11" width="11.77734375" customWidth="1"/>
    <col min="12" max="12" width="9.6640625" customWidth="1"/>
    <col min="13" max="13" width="16.109375" customWidth="1"/>
    <col min="14" max="14" width="16.88671875" customWidth="1"/>
    <col min="15" max="15" width="16.109375" customWidth="1"/>
    <col min="16" max="16" width="20.77734375" customWidth="1"/>
    <col min="17" max="17" width="16.88671875" customWidth="1"/>
    <col min="18" max="18" width="13.6640625" bestFit="1" customWidth="1"/>
    <col min="21" max="21" width="10.88671875" bestFit="1" customWidth="1"/>
    <col min="22" max="22" width="13.6640625" bestFit="1" customWidth="1"/>
    <col min="23" max="23" width="12.33203125" customWidth="1"/>
    <col min="24" max="24" width="17.33203125" bestFit="1" customWidth="1"/>
  </cols>
  <sheetData>
    <row r="1" spans="2:24" ht="15" thickBot="1" x14ac:dyDescent="0.35"/>
    <row r="2" spans="2:24" x14ac:dyDescent="0.3">
      <c r="B2" s="1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26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24</v>
      </c>
      <c r="S2" s="2" t="s">
        <v>25</v>
      </c>
      <c r="T2" s="2" t="s">
        <v>27</v>
      </c>
      <c r="U2" s="2" t="s">
        <v>30</v>
      </c>
      <c r="V2" s="2" t="s">
        <v>29</v>
      </c>
      <c r="W2" s="2" t="s">
        <v>28</v>
      </c>
      <c r="X2" s="3" t="s">
        <v>31</v>
      </c>
    </row>
    <row r="3" spans="2:24" x14ac:dyDescent="0.3">
      <c r="B3" s="4" t="s">
        <v>14</v>
      </c>
      <c r="C3" s="6">
        <v>0.12749190863074841</v>
      </c>
      <c r="D3" s="6">
        <v>0.18998223391931079</v>
      </c>
      <c r="E3" s="6">
        <v>0.13455127717118129</v>
      </c>
      <c r="F3" s="7">
        <v>0.56579979302908079</v>
      </c>
      <c r="G3" s="7">
        <v>0.79889177487325624</v>
      </c>
      <c r="H3" s="6">
        <v>-0.55189451587743577</v>
      </c>
      <c r="I3" s="6">
        <f>-H3</f>
        <v>0.55189451587743577</v>
      </c>
      <c r="J3" s="8">
        <v>1223</v>
      </c>
      <c r="K3" s="9">
        <v>1.6422372781328741E-4</v>
      </c>
      <c r="L3" s="9">
        <v>18.338260952944118</v>
      </c>
      <c r="M3" s="9">
        <v>15.33826095294412</v>
      </c>
      <c r="N3" s="6">
        <v>1.7631838046700762E-2</v>
      </c>
      <c r="O3" s="6">
        <v>1.9208920100494551E-2</v>
      </c>
      <c r="P3" s="6">
        <v>1.550500887100803E-2</v>
      </c>
      <c r="Q3" s="6">
        <v>2.9113342479565821E-2</v>
      </c>
      <c r="R3" s="6">
        <f>0.5*(D3-MIN(D$3:D$12))/(MAX(D$3:D$12)-MIN(D$3:D$12))+0.5*(E3-MIN(E$3:E$12))/(MAX(E$3:E$12)-MIN(E$3:E$12))</f>
        <v>0.31515921420752613</v>
      </c>
      <c r="S3" s="6">
        <f>0.6*(I3-MIN(I$3:I$12))/(MAX(I$3:I$12)-MIN(I$3:I$12))+0.4*(J3-MIN(J$3:J$12))/(MAX(J$3:J$12)-MIN(J$3:J$12))</f>
        <v>0.32138276007979627</v>
      </c>
      <c r="T3" s="6">
        <f>0.25*(N3-MIN(N$3:N$12))/(MAX(N$3:N$12)-MIN(N$3:N$12))+0.2*(O3-MIN(O$3:O$12))/(MAX(O$3:O$12)-MIN(O$3:O$12))+0.25*(P3-MIN(P$3:P$12))/(MAX(P$3:P$12)-MIN(P$3:P$12))+0.3*(Q3-MIN(Q$3:Q$12))/(MAX(Q$3:Q$12)-MIN(Q$3:Q$12))</f>
        <v>0.28201414724021795</v>
      </c>
      <c r="U3" s="6">
        <f>0.4*(M3-MIN(M$3:M$12))/(MAX(M$3:M$12)-MIN(M$3:M$12))+0.6*(1-(L3-MIN(L$3:L$12))/(MAX(L$3:L$12)-MIN(L$3:L$12)))</f>
        <v>0.43836376307482999</v>
      </c>
      <c r="V3" s="6">
        <f>0.5*(1-(F3-MIN(F$3:F$12))/(MAX(F$3:F$12)-MIN(F$3:F$12)))+0.5*(1-(G3-MIN(G$3:G$12))/(MAX(G$3:G$12)-MIN(G$3:G$12)))</f>
        <v>0.28499398055132974</v>
      </c>
      <c r="W3" s="6">
        <f>0.2*R3+0.25*S3+0.3*T3+0.1*U3+0.15*V3</f>
        <v>0.31456725042370215</v>
      </c>
      <c r="X3" s="10" t="str">
        <f>IF(W3&lt;=AVERAGE(W$3:W$12),"Portfolio","no")</f>
        <v>Portfolio</v>
      </c>
    </row>
    <row r="4" spans="2:24" x14ac:dyDescent="0.3">
      <c r="B4" s="4" t="s">
        <v>15</v>
      </c>
      <c r="C4" s="6">
        <v>0.17654417857350249</v>
      </c>
      <c r="D4" s="6">
        <v>0.21598858711689431</v>
      </c>
      <c r="E4" s="6">
        <v>0.1516700688537399</v>
      </c>
      <c r="F4" s="7">
        <v>0.72477986296924024</v>
      </c>
      <c r="G4" s="7">
        <v>1.032136266282458</v>
      </c>
      <c r="H4" s="6">
        <v>-0.53404027059848624</v>
      </c>
      <c r="I4" s="6">
        <f t="shared" ref="I4:I12" si="0">-H4</f>
        <v>0.53404027059848624</v>
      </c>
      <c r="J4" s="8">
        <v>781</v>
      </c>
      <c r="K4" s="9">
        <v>-5.295008991406449E-2</v>
      </c>
      <c r="L4" s="9">
        <v>10.76824304950653</v>
      </c>
      <c r="M4" s="9">
        <v>7.7682430495065269</v>
      </c>
      <c r="N4" s="6">
        <v>2.1769974098032191E-2</v>
      </c>
      <c r="O4" s="6">
        <v>2.1734509112670639E-2</v>
      </c>
      <c r="P4" s="6">
        <v>1.9396004007696942E-2</v>
      </c>
      <c r="Q4" s="6">
        <v>3.2341353633187082E-2</v>
      </c>
      <c r="R4" s="6">
        <f t="shared" ref="R4:R12" si="1">0.5*(D4-MIN(D$3:D$12))/(MAX(D$3:D$12)-MIN(D$3:D$12))+0.5*(E4-MIN(E$3:E$12))/(MAX(E$3:E$12)-MIN(E$3:E$12))</f>
        <v>0.49149340572527211</v>
      </c>
      <c r="S4" s="6">
        <f t="shared" ref="S4:S12" si="2">0.6*(I4-MIN(I$3:I$12))/(MAX(I$3:I$12)-MIN(I$3:I$12))+0.4*(J4-MIN(J$3:J$12))/(MAX(J$3:J$12)-MIN(J$3:J$12))</f>
        <v>0.19625373340366775</v>
      </c>
      <c r="T4" s="6">
        <f t="shared" ref="T4:T12" si="3">0.25*(N4-MIN(N$3:N$12))/(MAX(N$3:N$12)-MIN(N$3:N$12))+0.2*(O4-MIN(O$3:O$12))/(MAX(O$3:O$12)-MIN(O$3:O$12))+0.25*(P4-MIN(P$3:P$12))/(MAX(P$3:P$12)-MIN(P$3:P$12))+0.3*(Q4-MIN(Q$3:Q$12))/(MAX(Q$3:Q$12)-MIN(Q$3:Q$12))</f>
        <v>0.5538356389363871</v>
      </c>
      <c r="U4" s="6">
        <f t="shared" ref="U4:U12" si="4">0.4*(M4-MIN(M$3:M$12))/(MAX(M$3:M$12)-MIN(M$3:M$12))+0.6*(1-(L4-MIN(L$3:L$12))/(MAX(L$3:L$12)-MIN(L$3:L$12)))</f>
        <v>0.54161588684561524</v>
      </c>
      <c r="V4" s="6">
        <f t="shared" ref="V4:V12" si="5">0.5*(1-(F4-MIN(F$3:F$12))/(MAX(F$3:F$12)-MIN(F$3:F$12)))+0.5*(1-(G4-MIN(G$3:G$12))/(MAX(G$3:G$12)-MIN(G$3:G$12)))</f>
        <v>0</v>
      </c>
      <c r="W4" s="6">
        <f t="shared" ref="W4:W12" si="6">0.2*R4+0.25*S4+0.3*T4+0.1*U4+0.15*V4</f>
        <v>0.36767439486144904</v>
      </c>
      <c r="X4" s="10" t="str">
        <f t="shared" ref="X4:X12" si="7">IF(W4&lt;=AVERAGE(W$3:W$12),"Portfolio","no")</f>
        <v>Portfolio</v>
      </c>
    </row>
    <row r="5" spans="2:24" x14ac:dyDescent="0.3">
      <c r="B5" s="4" t="s">
        <v>16</v>
      </c>
      <c r="C5" s="6">
        <v>0.1176842755634719</v>
      </c>
      <c r="D5" s="6">
        <v>0.24110878397692659</v>
      </c>
      <c r="E5" s="6">
        <v>0.17121125310265881</v>
      </c>
      <c r="F5" s="7">
        <v>0.40514606706664008</v>
      </c>
      <c r="G5" s="7">
        <v>0.57054821919269616</v>
      </c>
      <c r="H5" s="6">
        <v>-0.58639987914930236</v>
      </c>
      <c r="I5" s="6">
        <f t="shared" si="0"/>
        <v>0.58639987914930236</v>
      </c>
      <c r="J5" s="8">
        <v>900</v>
      </c>
      <c r="K5" s="9">
        <v>-0.31800532236313089</v>
      </c>
      <c r="L5" s="9">
        <v>9.2426062494997829</v>
      </c>
      <c r="M5" s="9">
        <v>6.2426062494997829</v>
      </c>
      <c r="N5" s="6">
        <v>2.2868421331301951E-2</v>
      </c>
      <c r="O5" s="6">
        <v>2.454113599293032E-2</v>
      </c>
      <c r="P5" s="6">
        <v>2.1225879058322201E-2</v>
      </c>
      <c r="Q5" s="6">
        <v>3.542667871168393E-2</v>
      </c>
      <c r="R5" s="6">
        <f t="shared" si="1"/>
        <v>0.67697135922970786</v>
      </c>
      <c r="S5" s="6">
        <f t="shared" si="2"/>
        <v>0.29550781261477305</v>
      </c>
      <c r="T5" s="6">
        <f t="shared" si="3"/>
        <v>0.70150034725896593</v>
      </c>
      <c r="U5" s="6">
        <f t="shared" si="4"/>
        <v>0.56242498422331499</v>
      </c>
      <c r="V5" s="6">
        <f t="shared" si="5"/>
        <v>0.56842346225878371</v>
      </c>
      <c r="W5" s="6">
        <f t="shared" si="6"/>
        <v>0.56122734693847376</v>
      </c>
      <c r="X5" s="10" t="str">
        <f t="shared" si="7"/>
        <v>no</v>
      </c>
    </row>
    <row r="6" spans="2:24" x14ac:dyDescent="0.3">
      <c r="B6" s="4" t="s">
        <v>17</v>
      </c>
      <c r="C6" s="6">
        <v>8.6024506194662509E-2</v>
      </c>
      <c r="D6" s="6">
        <v>0.21059680629776881</v>
      </c>
      <c r="E6" s="6">
        <v>0.15013362865402649</v>
      </c>
      <c r="F6" s="7">
        <v>0.31351143141890092</v>
      </c>
      <c r="G6" s="7">
        <v>0.43977160071719718</v>
      </c>
      <c r="H6" s="6">
        <v>-0.61037307736545121</v>
      </c>
      <c r="I6" s="6">
        <f t="shared" si="0"/>
        <v>0.61037307736545121</v>
      </c>
      <c r="J6" s="8">
        <v>1659</v>
      </c>
      <c r="K6" s="9">
        <v>-4.3017100294345953E-2</v>
      </c>
      <c r="L6" s="9">
        <v>17.22585567493789</v>
      </c>
      <c r="M6" s="9">
        <v>14.22585567493789</v>
      </c>
      <c r="N6" s="6">
        <v>1.9434368899196919E-2</v>
      </c>
      <c r="O6" s="6">
        <v>2.149367793433089E-2</v>
      </c>
      <c r="P6" s="6">
        <v>1.7522381359792519E-2</v>
      </c>
      <c r="Q6" s="6">
        <v>3.1947537177163157E-2</v>
      </c>
      <c r="R6" s="6">
        <f t="shared" si="1"/>
        <v>0.46508129682571087</v>
      </c>
      <c r="S6" s="6">
        <f t="shared" si="2"/>
        <v>0.50116004340770537</v>
      </c>
      <c r="T6" s="6">
        <f t="shared" si="3"/>
        <v>0.44202534038552077</v>
      </c>
      <c r="U6" s="6">
        <f t="shared" si="4"/>
        <v>0.45353654191275261</v>
      </c>
      <c r="V6" s="6">
        <f t="shared" si="5"/>
        <v>0.73041818818833049</v>
      </c>
      <c r="W6" s="6">
        <f t="shared" si="6"/>
        <v>0.50583025475224952</v>
      </c>
      <c r="X6" s="10" t="str">
        <f t="shared" si="7"/>
        <v>no</v>
      </c>
    </row>
    <row r="7" spans="2:24" x14ac:dyDescent="0.3">
      <c r="B7" s="4" t="s">
        <v>18</v>
      </c>
      <c r="C7" s="6">
        <v>0.113300031981171</v>
      </c>
      <c r="D7" s="6">
        <v>0.27594958932706992</v>
      </c>
      <c r="E7" s="6">
        <v>0.191207228719454</v>
      </c>
      <c r="F7" s="7">
        <v>0.33810534818584898</v>
      </c>
      <c r="G7" s="7">
        <v>0.48795243049133941</v>
      </c>
      <c r="H7" s="6">
        <v>-0.664342668590436</v>
      </c>
      <c r="I7" s="6">
        <f t="shared" si="0"/>
        <v>0.664342668590436</v>
      </c>
      <c r="J7" s="8">
        <v>2486</v>
      </c>
      <c r="K7" s="9">
        <v>0.52003822815144018</v>
      </c>
      <c r="L7" s="9">
        <v>21.15093310644292</v>
      </c>
      <c r="M7" s="9">
        <v>18.15093310644292</v>
      </c>
      <c r="N7" s="6">
        <v>2.42878622018739E-2</v>
      </c>
      <c r="O7" s="6">
        <v>2.816680554309137E-2</v>
      </c>
      <c r="P7" s="6">
        <v>2.4280717907268989E-2</v>
      </c>
      <c r="Q7" s="6">
        <v>4.0157146923960552E-2</v>
      </c>
      <c r="R7" s="6">
        <f t="shared" si="1"/>
        <v>0.89839530027334702</v>
      </c>
      <c r="S7" s="6">
        <f t="shared" si="2"/>
        <v>0.7636345297284628</v>
      </c>
      <c r="T7" s="6">
        <f t="shared" si="3"/>
        <v>0.91747703706453576</v>
      </c>
      <c r="U7" s="6">
        <f t="shared" si="4"/>
        <v>0.4</v>
      </c>
      <c r="V7" s="6">
        <f t="shared" si="5"/>
        <v>0.67882295150388217</v>
      </c>
      <c r="W7" s="6">
        <f t="shared" si="6"/>
        <v>0.7876542463317282</v>
      </c>
      <c r="X7" s="10" t="str">
        <f t="shared" si="7"/>
        <v>no</v>
      </c>
    </row>
    <row r="8" spans="2:24" x14ac:dyDescent="0.3">
      <c r="B8" s="4" t="s">
        <v>19</v>
      </c>
      <c r="C8" s="6">
        <v>0.17856900617345589</v>
      </c>
      <c r="D8" s="6">
        <v>0.2242958057508285</v>
      </c>
      <c r="E8" s="6">
        <v>0.15659325968534399</v>
      </c>
      <c r="F8" s="7">
        <v>0.70696375994480776</v>
      </c>
      <c r="G8" s="7">
        <v>1.0126170595853361</v>
      </c>
      <c r="H8" s="6">
        <v>-0.53035838356224918</v>
      </c>
      <c r="I8" s="6">
        <f t="shared" si="0"/>
        <v>0.53035838356224918</v>
      </c>
      <c r="J8" s="8">
        <v>1061</v>
      </c>
      <c r="K8" s="9">
        <v>9.2778867569955445E-2</v>
      </c>
      <c r="L8" s="9">
        <v>13.20975551843005</v>
      </c>
      <c r="M8" s="9">
        <v>10.20975551843005</v>
      </c>
      <c r="N8" s="6">
        <v>2.1991756256027659E-2</v>
      </c>
      <c r="O8" s="6">
        <v>2.2588442297501999E-2</v>
      </c>
      <c r="P8" s="6">
        <v>2.004758156431043E-2</v>
      </c>
      <c r="Q8" s="6">
        <v>3.3497266417076933E-2</v>
      </c>
      <c r="R8" s="6">
        <f t="shared" si="1"/>
        <v>0.54507210560929986</v>
      </c>
      <c r="S8" s="6">
        <f t="shared" si="2"/>
        <v>0.25484970136717677</v>
      </c>
      <c r="T8" s="6">
        <f t="shared" si="3"/>
        <v>0.60075664621675473</v>
      </c>
      <c r="U8" s="6">
        <f t="shared" si="4"/>
        <v>0.5083145986789479</v>
      </c>
      <c r="V8" s="6">
        <f t="shared" si="5"/>
        <v>2.7830453761672536E-2</v>
      </c>
      <c r="W8" s="6">
        <f t="shared" si="6"/>
        <v>0.40795986826082625</v>
      </c>
      <c r="X8" s="10" t="str">
        <f t="shared" si="7"/>
        <v>Portfolio</v>
      </c>
    </row>
    <row r="9" spans="2:24" x14ac:dyDescent="0.3">
      <c r="B9" s="4" t="s">
        <v>20</v>
      </c>
      <c r="C9" s="6">
        <v>0.1025409024217625</v>
      </c>
      <c r="D9" s="6">
        <v>0.29063377215945507</v>
      </c>
      <c r="E9" s="6">
        <v>0.20127775535376999</v>
      </c>
      <c r="F9" s="7">
        <v>0.28400313497110302</v>
      </c>
      <c r="G9" s="7">
        <v>0.41008457331356313</v>
      </c>
      <c r="H9" s="6">
        <v>-0.8268653852572635</v>
      </c>
      <c r="I9" s="6">
        <f t="shared" si="0"/>
        <v>0.8268653852572635</v>
      </c>
      <c r="J9" s="8">
        <v>2540</v>
      </c>
      <c r="K9" s="9">
        <v>0.31047535832113748</v>
      </c>
      <c r="L9" s="9">
        <v>19.84605422915465</v>
      </c>
      <c r="M9" s="9">
        <v>16.84605422915465</v>
      </c>
      <c r="N9" s="6">
        <v>2.4200614148987561E-2</v>
      </c>
      <c r="O9" s="6">
        <v>2.9726874503543631E-2</v>
      </c>
      <c r="P9" s="6">
        <v>2.5085347887013321E-2</v>
      </c>
      <c r="Q9" s="6">
        <v>4.3535143423123299E-2</v>
      </c>
      <c r="R9" s="6">
        <f t="shared" si="1"/>
        <v>1</v>
      </c>
      <c r="S9" s="6">
        <f t="shared" si="2"/>
        <v>1</v>
      </c>
      <c r="T9" s="6">
        <f t="shared" si="3"/>
        <v>0.99772456270280419</v>
      </c>
      <c r="U9" s="6">
        <f t="shared" si="4"/>
        <v>0.41779804447786972</v>
      </c>
      <c r="V9" s="6">
        <f t="shared" si="5"/>
        <v>0.77487351998150333</v>
      </c>
      <c r="W9" s="6">
        <f t="shared" si="6"/>
        <v>0.90732820125585367</v>
      </c>
      <c r="X9" s="10" t="str">
        <f t="shared" si="7"/>
        <v>no</v>
      </c>
    </row>
    <row r="10" spans="2:24" x14ac:dyDescent="0.3">
      <c r="B10" s="4" t="s">
        <v>21</v>
      </c>
      <c r="C10" s="6">
        <v>0.11226662575284931</v>
      </c>
      <c r="D10" s="6">
        <v>0.1664266803133328</v>
      </c>
      <c r="E10" s="6">
        <v>0.1172110691459505</v>
      </c>
      <c r="F10" s="7">
        <v>0.55439804230390344</v>
      </c>
      <c r="G10" s="7">
        <v>0.78718355207526924</v>
      </c>
      <c r="H10" s="6">
        <v>-0.39170329626406108</v>
      </c>
      <c r="I10" s="6">
        <f t="shared" si="0"/>
        <v>0.39170329626406108</v>
      </c>
      <c r="J10" s="8">
        <v>849</v>
      </c>
      <c r="K10" s="9">
        <v>-0.13781375754999781</v>
      </c>
      <c r="L10" s="9">
        <v>13.942421533248281</v>
      </c>
      <c r="M10" s="9">
        <v>10.942421533248281</v>
      </c>
      <c r="N10" s="6">
        <v>1.577133167538608E-2</v>
      </c>
      <c r="O10" s="6">
        <v>1.6822162279761039E-2</v>
      </c>
      <c r="P10" s="6">
        <v>1.4092601188167931E-2</v>
      </c>
      <c r="Q10" s="6">
        <v>2.4549395119234301E-2</v>
      </c>
      <c r="R10" s="6">
        <f t="shared" si="1"/>
        <v>0.1461936356048027</v>
      </c>
      <c r="S10" s="6">
        <f t="shared" si="2"/>
        <v>1.5463331438317227E-2</v>
      </c>
      <c r="T10" s="6">
        <f t="shared" si="3"/>
        <v>0.11081483212657535</v>
      </c>
      <c r="U10" s="6">
        <f t="shared" si="4"/>
        <v>0.49832131689155512</v>
      </c>
      <c r="V10" s="6">
        <f t="shared" si="5"/>
        <v>0.30231845424595777</v>
      </c>
      <c r="W10" s="6">
        <f t="shared" si="6"/>
        <v>0.16152890944456164</v>
      </c>
      <c r="X10" s="10" t="str">
        <f t="shared" si="7"/>
        <v>Portfolio</v>
      </c>
    </row>
    <row r="11" spans="2:24" x14ac:dyDescent="0.3">
      <c r="B11" s="4" t="s">
        <v>22</v>
      </c>
      <c r="C11" s="6">
        <v>4.3109467133102708E-2</v>
      </c>
      <c r="D11" s="6">
        <v>0.1462109942557123</v>
      </c>
      <c r="E11" s="6">
        <v>0.102094379551553</v>
      </c>
      <c r="F11" s="7">
        <v>0.15805560485202599</v>
      </c>
      <c r="G11" s="7">
        <v>0.22635396027294019</v>
      </c>
      <c r="H11" s="6">
        <v>-0.48351142192383151</v>
      </c>
      <c r="I11" s="6">
        <f t="shared" si="0"/>
        <v>0.48351142192383151</v>
      </c>
      <c r="J11" s="8">
        <v>1432</v>
      </c>
      <c r="K11" s="9">
        <v>7.8436227786096255E-2</v>
      </c>
      <c r="L11" s="9">
        <v>6.4877617798314802</v>
      </c>
      <c r="M11" s="9">
        <v>3.4877617798314802</v>
      </c>
      <c r="N11" s="6">
        <v>1.470200666172527E-2</v>
      </c>
      <c r="O11" s="6">
        <v>1.498230544221579E-2</v>
      </c>
      <c r="P11" s="6">
        <v>1.453831564795156E-2</v>
      </c>
      <c r="Q11" s="6">
        <v>2.0001976420448021E-2</v>
      </c>
      <c r="R11" s="6">
        <f t="shared" si="1"/>
        <v>0</v>
      </c>
      <c r="S11" s="6">
        <f t="shared" si="2"/>
        <v>0.27462338799405783</v>
      </c>
      <c r="T11" s="6">
        <f t="shared" si="3"/>
        <v>1.0136558041277447E-2</v>
      </c>
      <c r="U11" s="6">
        <f t="shared" si="4"/>
        <v>0.6</v>
      </c>
      <c r="V11" s="6">
        <f t="shared" si="5"/>
        <v>1</v>
      </c>
      <c r="W11" s="6">
        <f t="shared" si="6"/>
        <v>0.28169681441089767</v>
      </c>
      <c r="X11" s="10" t="str">
        <f t="shared" si="7"/>
        <v>Portfolio</v>
      </c>
    </row>
    <row r="12" spans="2:24" ht="15" thickBot="1" x14ac:dyDescent="0.35">
      <c r="B12" s="5" t="s">
        <v>23</v>
      </c>
      <c r="C12" s="11">
        <v>0.13484734164367401</v>
      </c>
      <c r="D12" s="11">
        <v>0.18121065471087591</v>
      </c>
      <c r="E12" s="11">
        <v>0.12777875024240939</v>
      </c>
      <c r="F12" s="12">
        <v>0.63377808455531737</v>
      </c>
      <c r="G12" s="12">
        <v>0.89879844203982895</v>
      </c>
      <c r="H12" s="11">
        <v>-0.45555012734255412</v>
      </c>
      <c r="I12" s="11">
        <f t="shared" si="0"/>
        <v>0.45555012734255412</v>
      </c>
      <c r="J12" s="13">
        <v>2247</v>
      </c>
      <c r="K12" s="14">
        <v>-0.30916680918852713</v>
      </c>
      <c r="L12" s="14">
        <v>9.7350762977448966</v>
      </c>
      <c r="M12" s="14">
        <v>6.7350762977448966</v>
      </c>
      <c r="N12" s="11">
        <v>1.7747507834168619E-2</v>
      </c>
      <c r="O12" s="11">
        <v>1.8274227512496449E-2</v>
      </c>
      <c r="P12" s="11">
        <v>1.5698991866654188E-2</v>
      </c>
      <c r="Q12" s="11">
        <v>2.6983941036574709E-2</v>
      </c>
      <c r="R12" s="11">
        <f t="shared" si="1"/>
        <v>0.25065005835844029</v>
      </c>
      <c r="S12" s="11">
        <f t="shared" si="2"/>
        <v>0.42140302598308982</v>
      </c>
      <c r="T12" s="11">
        <f t="shared" si="3"/>
        <v>0.24961843739132561</v>
      </c>
      <c r="U12" s="11">
        <f t="shared" si="4"/>
        <v>0.55570788275493943</v>
      </c>
      <c r="V12" s="11">
        <f t="shared" si="5"/>
        <v>0.16302564580621065</v>
      </c>
      <c r="W12" s="11">
        <f t="shared" si="6"/>
        <v>0.31039093453128375</v>
      </c>
      <c r="X12" s="15" t="str">
        <f t="shared" si="7"/>
        <v>Portfolio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STEFANO STORINO</cp:lastModifiedBy>
  <dcterms:created xsi:type="dcterms:W3CDTF">2026-04-21T20:59:08Z</dcterms:created>
  <dcterms:modified xsi:type="dcterms:W3CDTF">2026-04-22T06:16:31Z</dcterms:modified>
</cp:coreProperties>
</file>